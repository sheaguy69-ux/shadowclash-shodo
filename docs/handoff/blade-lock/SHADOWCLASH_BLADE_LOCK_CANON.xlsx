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9baa724e3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e Lock Canon" sheetId="1" r:id="Rf15ee951a6c54496"/>
    <x:sheet xmlns:r="http://schemas.openxmlformats.org/officeDocument/2006/relationships" name="Canon Cards" sheetId="2" r:id="Rbc00ca0329884f53"/>
    <x:sheet xmlns:r="http://schemas.openxmlformats.org/officeDocument/2006/relationships" name="Source Rules" sheetId="3" r:id="Rc648995f18c9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9"/>
      <x:color rgb="FFFFFFFF"/>
      <x:name val="Carlito"/>
    </x:font>
    <x:font>
      <x:sz val="9"/>
      <x:color rgb="FF111111"/>
      <x:name val="Carlito"/>
    </x:font>
    <x:font>
      <x:b/>
      <x:sz val="10"/>
      <x:color rgb="FF111111"/>
      <x:name val="Carlito"/>
    </x:font>
    <x:font>
      <x:b/>
      <x:sz val="9"/>
      <x:color rgb="FF7F1D1D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9"/>
      <x:color rgb="FF111111"/>
      <x:name val="Carlito"/>
    </x:font>
    <x:font>
      <x:sz val="10"/>
      <x:color rgb="FF111111"/>
      <x:name val="Carlito"/>
    </x:font>
    <x:font>
      <x:b/>
      <x:sz val="10"/>
      <x:color rgb="FF7F1D1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1E1E1E"/>
      </x:patternFill>
    </x:fill>
    <x:fill>
      <x:patternFill patternType="solid">
        <x:fgColor rgb="FFC62828"/>
      </x:patternFill>
    </x:fill>
    <x:fill>
      <x:patternFill patternType="solid">
        <x:fgColor rgb="FFFFFFFF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0" fontId="8" fillId="4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9" fillId="7" borderId="1" xfId="0" applyNumberFormat="1" applyFont="1" applyFill="1" applyBorder="1"/>
    <x:xf numFmtId="0" fontId="9" fillId="7" borderId="1" xfId="0" applyNumberFormat="1" applyFont="1" applyFill="1" applyBorder="1" applyAlignment="1">
      <x:alignment horizontal="center"/>
    </x:xf>
    <x:xf numFmtId="0" fontId="9" fillId="7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wrapText="1"/>
    </x:xf>
    <x:xf numFmtId="0" fontId="7" fillId="4" borderId="0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6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1d2e9400f1458b" /><Relationship Type="http://schemas.openxmlformats.org/officeDocument/2006/relationships/theme" Target="/xl/theme/theme1.xml" Id="R5db387b65f7e4329" /><Relationship Type="http://schemas.openxmlformats.org/officeDocument/2006/relationships/sharedStrings" Target="/xl/sharedStrings.xml" Id="R5589316e661347e9" /><Relationship Type="http://schemas.openxmlformats.org/officeDocument/2006/relationships/worksheet" Target="/xl/worksheets/sheet1.xml" Id="Rf15ee951a6c54496" /><Relationship Type="http://schemas.openxmlformats.org/officeDocument/2006/relationships/worksheet" Target="/xl/worksheets/sheet2.xml" Id="Rbc00ca0329884f53" /><Relationship Type="http://schemas.openxmlformats.org/officeDocument/2006/relationships/worksheet" Target="/xl/worksheets/sheet3.xml" Id="Rc648995f18c94af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09bfc60d7274ae3" /><Relationship Type="http://schemas.openxmlformats.org/officeDocument/2006/relationships/image" Target="/xl/media/image2.png" Id="R380977ac336f4798" /><Relationship Type="http://schemas.openxmlformats.org/officeDocument/2006/relationships/image" Target="/xl/media/image3.png" Id="R2d5fddda1d4e4e45" /><Relationship Type="http://schemas.openxmlformats.org/officeDocument/2006/relationships/image" Target="/xl/media/image4.png" Id="R2f21cc4d5d224ea7" /><Relationship Type="http://schemas.openxmlformats.org/officeDocument/2006/relationships/image" Target="/xl/media/image5.png" Id="Rfca509fa785e40e3" /><Relationship Type="http://schemas.openxmlformats.org/officeDocument/2006/relationships/image" Target="/xl/media/image6.png" Id="R977b9de32c444789" /><Relationship Type="http://schemas.openxmlformats.org/officeDocument/2006/relationships/image" Target="/xl/media/image7.png" Id="R9297eeb1ba38435d" /><Relationship Type="http://schemas.openxmlformats.org/officeDocument/2006/relationships/image" Target="/xl/media/image8.png" Id="R0de2c103da524d3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9.png" Id="R8687c4d4053e46db" /><Relationship Type="http://schemas.openxmlformats.org/officeDocument/2006/relationships/image" Target="/xl/media/image10.png" Id="R2b07e12ce9704465" /><Relationship Type="http://schemas.openxmlformats.org/officeDocument/2006/relationships/image" Target="/xl/media/image11.png" Id="R223297c28757461c" /><Relationship Type="http://schemas.openxmlformats.org/officeDocument/2006/relationships/image" Target="/xl/media/image12.png" Id="Rc20048bdda2b4814" /><Relationship Type="http://schemas.openxmlformats.org/officeDocument/2006/relationships/image" Target="/xl/media/image13.png" Id="R1b9de0419ce34243" /><Relationship Type="http://schemas.openxmlformats.org/officeDocument/2006/relationships/image" Target="/xl/media/image14.png" Id="Rbeaf2d64dfb844ab" /><Relationship Type="http://schemas.openxmlformats.org/officeDocument/2006/relationships/image" Target="/xl/media/image15.png" Id="R33f473df05034a15" /><Relationship Type="http://schemas.openxmlformats.org/officeDocument/2006/relationships/image" Target="/xl/media/image16.png" Id="Rcef4e6e86f8c4671" /></Relationships>
</file>

<file path=xl/drawings/drawing1.xml><?xml version="1.0" encoding="utf-8"?>
<xdr:wsDr xmlns:xdr="http://schemas.openxmlformats.org/drawingml/2006/spreadsheetDrawing">
  <xdr:oneCellAnchor>
    <xdr:from>
      <xdr:col>1</xdr:col>
      <xdr:colOff>47625</xdr:colOff>
      <xdr:row>3</xdr:row>
      <xdr:rowOff>47625</xdr:rowOff>
    </xdr:from>
    <xdr:ext cx="1809750" cy="1333500"/>
    <xdr:pic>
      <xdr:nvPicPr>
        <xdr:cNvPr id="1" name="7f6c981d-b7fc-4b10-8f56-158624b1336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9bfc60d7274a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4</xdr:row>
      <xdr:rowOff>47625</xdr:rowOff>
    </xdr:from>
    <xdr:ext cx="1809750" cy="1333500"/>
    <xdr:pic>
      <xdr:nvPicPr>
        <xdr:cNvPr id="2" name="59072c1e-b2d4-47d2-aae0-01c49211a96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0977ac336f479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5</xdr:row>
      <xdr:rowOff>47625</xdr:rowOff>
    </xdr:from>
    <xdr:ext cx="1809750" cy="1333500"/>
    <xdr:pic>
      <xdr:nvPicPr>
        <xdr:cNvPr id="3" name="79e96193-0152-4676-a295-b360686239a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5fddda1d4e4e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6</xdr:row>
      <xdr:rowOff>47625</xdr:rowOff>
    </xdr:from>
    <xdr:ext cx="1809750" cy="1333500"/>
    <xdr:pic>
      <xdr:nvPicPr>
        <xdr:cNvPr id="4" name="23fcb12b-5bf1-4184-ba30-10f3096e51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21cc4d5d224e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7</xdr:row>
      <xdr:rowOff>47625</xdr:rowOff>
    </xdr:from>
    <xdr:ext cx="1809750" cy="1333500"/>
    <xdr:pic>
      <xdr:nvPicPr>
        <xdr:cNvPr id="5" name="5fc8f2e9-389e-41a9-bc88-b1c39f2a4a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a509fa785e40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8</xdr:row>
      <xdr:rowOff>47625</xdr:rowOff>
    </xdr:from>
    <xdr:ext cx="1809750" cy="1333500"/>
    <xdr:pic>
      <xdr:nvPicPr>
        <xdr:cNvPr id="6" name="24d329e4-b3b6-4989-9d75-8e0bb0c627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7b9de32c4447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9</xdr:row>
      <xdr:rowOff>47625</xdr:rowOff>
    </xdr:from>
    <xdr:ext cx="1809750" cy="1333500"/>
    <xdr:pic>
      <xdr:nvPicPr>
        <xdr:cNvPr id="7" name="c27bb6f4-ddba-48e6-936f-e8f78e7ebd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97eeb1ba3843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47625</xdr:colOff>
      <xdr:row>10</xdr:row>
      <xdr:rowOff>47625</xdr:rowOff>
    </xdr:from>
    <xdr:ext cx="1809750" cy="1333500"/>
    <xdr:pic>
      <xdr:nvPicPr>
        <xdr:cNvPr id="8" name="460d554f-d9d5-4d6d-a427-a5f3dde76d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e2c103da524d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95250</xdr:colOff>
      <xdr:row>4</xdr:row>
      <xdr:rowOff>76200</xdr:rowOff>
    </xdr:from>
    <xdr:ext cx="2381250" cy="2047875"/>
    <xdr:pic>
      <xdr:nvPicPr>
        <xdr:cNvPr id="1" name="efdb51ca-4973-496f-93d5-a45aa363e9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87c4d4053e46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4</xdr:row>
      <xdr:rowOff>76200</xdr:rowOff>
    </xdr:from>
    <xdr:ext cx="2381250" cy="2047875"/>
    <xdr:pic>
      <xdr:nvPicPr>
        <xdr:cNvPr id="2" name="f31a47ea-1e02-4398-88b4-db8fa09705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07e12ce97044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12</xdr:row>
      <xdr:rowOff>76200</xdr:rowOff>
    </xdr:from>
    <xdr:ext cx="2381250" cy="2047875"/>
    <xdr:pic>
      <xdr:nvPicPr>
        <xdr:cNvPr id="3" name="2b20409c-3a30-46c5-9d5e-37f647aea4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3297c2875746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12</xdr:row>
      <xdr:rowOff>76200</xdr:rowOff>
    </xdr:from>
    <xdr:ext cx="2381250" cy="2047875"/>
    <xdr:pic>
      <xdr:nvPicPr>
        <xdr:cNvPr id="4" name="47f276a4-50f8-498a-a4e9-b9a6d92ea4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0048bdda2b48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20</xdr:row>
      <xdr:rowOff>76200</xdr:rowOff>
    </xdr:from>
    <xdr:ext cx="2381250" cy="2047875"/>
    <xdr:pic>
      <xdr:nvPicPr>
        <xdr:cNvPr id="5" name="6b644557-ee38-4d0e-84ed-6d486870f6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b9de0419ce342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20</xdr:row>
      <xdr:rowOff>76200</xdr:rowOff>
    </xdr:from>
    <xdr:ext cx="2381250" cy="2047875"/>
    <xdr:pic>
      <xdr:nvPicPr>
        <xdr:cNvPr id="6" name="f19947fb-be4c-40e4-b4c9-870973b967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af2d64dfb844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95250</xdr:colOff>
      <xdr:row>28</xdr:row>
      <xdr:rowOff>76200</xdr:rowOff>
    </xdr:from>
    <xdr:ext cx="2381250" cy="2047875"/>
    <xdr:pic>
      <xdr:nvPicPr>
        <xdr:cNvPr id="7" name="61f3eceb-5ace-41bf-8b3c-73a03308f6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f473df05034a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4</xdr:col>
      <xdr:colOff>95250</xdr:colOff>
      <xdr:row>28</xdr:row>
      <xdr:rowOff>76200</xdr:rowOff>
    </xdr:from>
    <xdr:ext cx="2381250" cy="2047875"/>
    <xdr:pic>
      <xdr:nvPicPr>
        <xdr:cNvPr id="8" name="df7b8762-7dae-431f-af60-75e20a9a16c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f4e6e86f8c46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caeb95faef24f7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04ed7d984e04ec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24" hidden="0" customWidth="1"/>
    <x:col min="5" max="5" width="36" hidden="0" customWidth="1"/>
    <x:col min="6" max="6" width="36" hidden="0" customWidth="1"/>
    <x:col min="7" max="7" width="30" hidden="0" customWidth="1"/>
    <x:col min="8" max="8" width="24" hidden="0" customWidth="1"/>
    <x:col min="9" max="9" width="38" hidden="0" customWidth="1"/>
    <x:col min="10" max="10" width="32" hidden="0" customWidth="1"/>
    <x:col min="11" max="11" width="30" hidden="0" customWidth="1"/>
    <x:col min="12" max="12" width="30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30" hidden="0" customWidth="1"/>
    <x:col min="20" max="20" width="30" hidden="0" customWidth="1"/>
    <x:col min="21" max="21" width="12" hidden="0" customWidth="1"/>
    <x:col min="22" max="22" width="12" hidden="0" customWidth="1"/>
  </x:cols>
  <x:sheetData>
    <x:row r="1" ht="30" customHeight="1">
      <x:c r="A1" s="5" t="str">
        <x:v>SHADOW CLASH — BLADE LOCK CANON PRODUCTION MATRIX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</x:row>
    <x:row r="2" ht="22" customHeight="1">
      <x:c r="A2" s="13" t="str">
        <x:v>Authority: uploaded 'sword clashing HANDOUT + ONI.md' • exact fighter/card names • LEFT-facing side profile • fixed high X in frames 1–8 • no effects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</x:row>
    <x:row r="3" ht="42" customHeight="1">
      <x:c r="A3" s="22" t="str">
        <x:v>FIGHTER</x:v>
      </x:c>
      <x:c r="B3" s="22" t="str">
        <x:v>CANON VISUAL</x:v>
      </x:c>
      <x:c r="C3" s="22" t="str">
        <x:v>CARD FILE</x:v>
      </x:c>
      <x:c r="D3" s="22" t="str">
        <x:v>BIND WEAPON</x:v>
      </x:c>
      <x:c r="E3" s="22" t="str">
        <x:v>GRIP / BIND RULE</x:v>
      </x:c>
      <x:c r="F3" s="22" t="str">
        <x:v>OTHER WEAPON LOCK</x:v>
      </x:c>
      <x:c r="G3" s="22" t="str">
        <x:v>CONTACT</x:v>
      </x:c>
      <x:c r="H3" s="22" t="str">
        <x:v>FACING</x:v>
      </x:c>
      <x:c r="I3" s="22" t="str">
        <x:v>HIGH CONTACT</x:v>
      </x:c>
      <x:c r="J3" s="22" t="str">
        <x:v>SIZE LOCK</x:v>
      </x:c>
      <x:c r="K3" s="22" t="str">
        <x:v>01 CATCH</x:v>
      </x:c>
      <x:c r="L3" s="22" t="str">
        <x:v>02 SETTLE</x:v>
      </x:c>
      <x:c r="M3" s="22" t="str">
        <x:v>03 STRAIN</x:v>
      </x:c>
      <x:c r="N3" s="22" t="str">
        <x:v>04 STRAIN</x:v>
      </x:c>
      <x:c r="O3" s="22" t="str">
        <x:v>05 STRAIN</x:v>
      </x:c>
      <x:c r="P3" s="22" t="str">
        <x:v>06 STRAIN</x:v>
      </x:c>
      <x:c r="Q3" s="22" t="str">
        <x:v>07 STRAIN</x:v>
      </x:c>
      <x:c r="R3" s="22" t="str">
        <x:v>08 STRAIN</x:v>
      </x:c>
      <x:c r="S3" s="22" t="str">
        <x:v>09 WIN</x:v>
      </x:c>
      <x:c r="T3" s="22" t="str">
        <x:v>10 LOSE</x:v>
      </x:c>
      <x:c r="U3" s="22" t="str">
        <x:v>FRAME COUNT</x:v>
      </x:c>
      <x:c r="V3" s="22" t="str">
        <x:v>CHECK</x:v>
      </x:c>
    </x:row>
    <x:row r="4" ht="150" customHeight="1">
      <x:c r="A4" s="36" t="str">
        <x:v>KAEL</x:v>
      </x:c>
      <x:c r="B4" s="31" t="str"/>
      <x:c r="C4" s="31" t="str">
        <x:v>kael-CARD.png</x:v>
      </x:c>
      <x:c r="D4" s="38" t="str">
        <x:v>Long katana</x:v>
      </x:c>
      <x:c r="E4" s="31" t="str">
        <x:v>Katana is the bind weapon; short blade remains visible in frame</x:v>
      </x:c>
      <x:c r="F4" s="31" t="str">
        <x:v>Short blade stays in frame; do not drop it</x:v>
      </x:c>
      <x:c r="G4" s="31" t="str">
        <x:v>Blade-to-blade high X</x:v>
      </x:c>
      <x:c r="H4" s="31" t="str">
        <x:v>PURE SIDE PROFILE — LEFT</x:v>
      </x:c>
      <x:c r="I4" s="31" t="str">
        <x:v>85–95% body height; steep ~45°; forward LEFT; fixed frames 1–8</x:v>
      </x:c>
      <x:c r="J4" s="31" t="str">
        <x:v>Soles-to-crown identical all 10; target within 1%</x:v>
      </x:c>
      <x:c r="K4" s="31" t="str">
        <x:v>Impact: weapons meet; weight arrives forward; arms braced; head up.</x:v>
      </x:c>
      <x:c r="L4" s="31" t="str">
        <x:v>Absorb catch; elbows compress; rear foot digs in; shoulders drop.</x:v>
      </x:c>
      <x:c r="M4" s="31" t="str">
        <x:v>Held push; lean in/up; bent elbows; fixed contact point.</x:v>
      </x:c>
      <x:c r="N4" s="31" t="str">
        <x:v>Same bind breathing; tiny body/weapon shift only.</x:v>
      </x:c>
      <x:c r="O4" s="31" t="str">
        <x:v>Same bind breathing; subtle weight shift only.</x:v>
      </x:c>
      <x:c r="P4" s="31" t="str">
        <x:v>Same bind breathing; subtle compression only.</x:v>
      </x:c>
      <x:c r="Q4" s="31" t="str">
        <x:v>Same bind breathing; tiny tremble/weight shift only.</x:v>
      </x:c>
      <x:c r="R4" s="31" t="str">
        <x:v>Same bind breathing; final loop variation; contact still fixed.</x:v>
      </x:c>
      <x:c r="S4" s="31" t="str">
        <x:v>Break bind open; front foot steps through; weapon drives forward/up.</x:v>
      </x:c>
      <x:c r="T4" s="31" t="str">
        <x:v>Thrown off; torso rocks back; weapon knocked wide; still on both feet.</x:v>
      </x:c>
      <x:c r="U4" s="31" t="n">
        <x:f>COUNTA(K4:T4)</x:f>
        <x:v>10</x:v>
      </x:c>
      <x:c r="V4" s="31" t="str">
        <x:f>IF(U4=10,"OK","CHECK")</x:f>
        <x:v>OK</x:v>
      </x:c>
    </x:row>
    <x:row r="5" ht="150" customHeight="1">
      <x:c r="A5" s="48" t="str">
        <x:v>EXECUTIONER</x:v>
      </x:c>
      <x:c r="B5" s="43" t="str"/>
      <x:c r="C5" s="43" t="str">
        <x:v>executioner-CARD.png</x:v>
      </x:c>
      <x:c r="D5" s="50" t="str">
        <x:v>Nodachi</x:v>
      </x:c>
      <x:c r="E5" s="43" t="str">
        <x:v>Two hands for blade-lock bind</x:v>
      </x:c>
      <x:c r="F5" s="43" t="str">
        <x:v>Idle may be one-handed; bind is explicitly two-handed</x:v>
      </x:c>
      <x:c r="G5" s="43" t="str">
        <x:v>Blade-to-blade high X</x:v>
      </x:c>
      <x:c r="H5" s="43" t="str">
        <x:v>PURE SIDE PROFILE — LEFT</x:v>
      </x:c>
      <x:c r="I5" s="43" t="str">
        <x:v>85–95% body height; steep ~45°; forward LEFT; fixed frames 1–8</x:v>
      </x:c>
      <x:c r="J5" s="43" t="str">
        <x:v>Soles-to-crown identical all 10; target within 1%</x:v>
      </x:c>
      <x:c r="K5" s="43" t="str">
        <x:v>Impact: weapons meet; weight arrives forward; arms braced; head up.</x:v>
      </x:c>
      <x:c r="L5" s="43" t="str">
        <x:v>Absorb catch; elbows compress; rear foot digs in; shoulders drop.</x:v>
      </x:c>
      <x:c r="M5" s="43" t="str">
        <x:v>Held push; lean in/up; bent elbows; fixed contact point.</x:v>
      </x:c>
      <x:c r="N5" s="43" t="str">
        <x:v>Same bind breathing; tiny body/weapon shift only.</x:v>
      </x:c>
      <x:c r="O5" s="43" t="str">
        <x:v>Same bind breathing; subtle weight shift only.</x:v>
      </x:c>
      <x:c r="P5" s="43" t="str">
        <x:v>Same bind breathing; subtle compression only.</x:v>
      </x:c>
      <x:c r="Q5" s="43" t="str">
        <x:v>Same bind breathing; tiny tremble/weight shift only.</x:v>
      </x:c>
      <x:c r="R5" s="43" t="str">
        <x:v>Same bind breathing; final loop variation; contact still fixed.</x:v>
      </x:c>
      <x:c r="S5" s="43" t="str">
        <x:v>Break bind open; front foot steps through; weapon drives forward/up.</x:v>
      </x:c>
      <x:c r="T5" s="43" t="str">
        <x:v>Thrown off; torso rocks back; weapon knocked wide; still on both feet.</x:v>
      </x:c>
      <x:c r="U5" s="43" t="n">
        <x:f>COUNTA(K5:T5)</x:f>
        <x:v>10</x:v>
      </x:c>
      <x:c r="V5" s="43" t="str">
        <x:f>IF(U5=10,"OK","CHECK")</x:f>
        <x:v>OK</x:v>
      </x:c>
    </x:row>
    <x:row r="6" ht="150" customHeight="1">
      <x:c r="A6" s="36" t="str">
        <x:v>TSUBASA</x:v>
      </x:c>
      <x:c r="B6" s="31" t="str"/>
      <x:c r="C6" s="31" t="str">
        <x:v>tsubasa-CARD.png</x:v>
      </x:c>
      <x:c r="D6" s="38" t="str">
        <x:v>Two tanto</x:v>
      </x:c>
      <x:c r="E6" s="31" t="str">
        <x:v>Both tanto in reverse grip</x:v>
      </x:c>
      <x:c r="F6" s="31" t="str">
        <x:v>Both tanto remain in use; no substitute sword</x:v>
      </x:c>
      <x:c r="G6" s="31" t="str">
        <x:v>Both tanto brace into the high X</x:v>
      </x:c>
      <x:c r="H6" s="31" t="str">
        <x:v>PURE SIDE PROFILE — LEFT</x:v>
      </x:c>
      <x:c r="I6" s="31" t="str">
        <x:v>85–95% body height; steep ~45°; forward LEFT; fixed frames 1–8</x:v>
      </x:c>
      <x:c r="J6" s="31" t="str">
        <x:v>Soles-to-crown identical all 10; target within 1%</x:v>
      </x:c>
      <x:c r="K6" s="31" t="str">
        <x:v>Impact: weapons meet; weight arrives forward; arms braced; head up.</x:v>
      </x:c>
      <x:c r="L6" s="31" t="str">
        <x:v>Absorb catch; elbows compress; rear foot digs in; shoulders drop.</x:v>
      </x:c>
      <x:c r="M6" s="31" t="str">
        <x:v>Held push; lean in/up; bent elbows; fixed contact point.</x:v>
      </x:c>
      <x:c r="N6" s="31" t="str">
        <x:v>Same bind breathing; tiny body/weapon shift only.</x:v>
      </x:c>
      <x:c r="O6" s="31" t="str">
        <x:v>Same bind breathing; subtle weight shift only.</x:v>
      </x:c>
      <x:c r="P6" s="31" t="str">
        <x:v>Same bind breathing; subtle compression only.</x:v>
      </x:c>
      <x:c r="Q6" s="31" t="str">
        <x:v>Same bind breathing; tiny tremble/weight shift only.</x:v>
      </x:c>
      <x:c r="R6" s="31" t="str">
        <x:v>Same bind breathing; final loop variation; contact still fixed.</x:v>
      </x:c>
      <x:c r="S6" s="31" t="str">
        <x:v>Break bind open; front foot steps through; weapon drives forward/up.</x:v>
      </x:c>
      <x:c r="T6" s="31" t="str">
        <x:v>Thrown off; torso rocks back; weapon knocked wide; still on both feet.</x:v>
      </x:c>
      <x:c r="U6" s="31" t="n">
        <x:f>COUNTA(K6:T6)</x:f>
        <x:v>10</x:v>
      </x:c>
      <x:c r="V6" s="31" t="str">
        <x:f>IF(U6=10,"OK","CHECK")</x:f>
        <x:v>OK</x:v>
      </x:c>
    </x:row>
    <x:row r="7" ht="150" customHeight="1">
      <x:c r="A7" s="48" t="str">
        <x:v>EMBER</x:v>
      </x:c>
      <x:c r="B7" s="43" t="str"/>
      <x:c r="C7" s="43" t="str">
        <x:v>ember-CARD.png</x:v>
      </x:c>
      <x:c r="D7" s="50" t="str">
        <x:v>Iron claws</x:v>
      </x:c>
      <x:c r="E7" s="43" t="str">
        <x:v>Claws trap the opponent's edge</x:v>
      </x:c>
      <x:c r="F7" s="43" t="str">
        <x:v>No added sword or blade</x:v>
      </x:c>
      <x:c r="G7" s="43" t="str">
        <x:v>Claw trap at the high contact point</x:v>
      </x:c>
      <x:c r="H7" s="43" t="str">
        <x:v>PURE SIDE PROFILE — LEFT</x:v>
      </x:c>
      <x:c r="I7" s="43" t="str">
        <x:v>85–95% body height; steep ~45°; forward LEFT; fixed frames 1–8</x:v>
      </x:c>
      <x:c r="J7" s="43" t="str">
        <x:v>Soles-to-crown identical all 10; target within 1%</x:v>
      </x:c>
      <x:c r="K7" s="43" t="str">
        <x:v>Impact: weapons meet; weight arrives forward; arms braced; head up.</x:v>
      </x:c>
      <x:c r="L7" s="43" t="str">
        <x:v>Absorb catch; elbows compress; rear foot digs in; shoulders drop.</x:v>
      </x:c>
      <x:c r="M7" s="43" t="str">
        <x:v>Held push; lean in/up; bent elbows; fixed contact point.</x:v>
      </x:c>
      <x:c r="N7" s="43" t="str">
        <x:v>Same bind breathing; tiny body/weapon shift only.</x:v>
      </x:c>
      <x:c r="O7" s="43" t="str">
        <x:v>Same bind breathing; subtle weight shift only.</x:v>
      </x:c>
      <x:c r="P7" s="43" t="str">
        <x:v>Same bind breathing; subtle compression only.</x:v>
      </x:c>
      <x:c r="Q7" s="43" t="str">
        <x:v>Same bind breathing; tiny tremble/weight shift only.</x:v>
      </x:c>
      <x:c r="R7" s="43" t="str">
        <x:v>Same bind breathing; final loop variation; contact still fixed.</x:v>
      </x:c>
      <x:c r="S7" s="43" t="str">
        <x:v>Break bind open; front foot steps through; weapon drives forward/up.</x:v>
      </x:c>
      <x:c r="T7" s="43" t="str">
        <x:v>Thrown off; torso rocks back; weapon knocked wide; still on both feet.</x:v>
      </x:c>
      <x:c r="U7" s="43" t="n">
        <x:f>COUNTA(K7:T7)</x:f>
        <x:v>10</x:v>
      </x:c>
      <x:c r="V7" s="43" t="str">
        <x:f>IF(U7=10,"OK","CHECK")</x:f>
        <x:v>OK</x:v>
      </x:c>
    </x:row>
    <x:row r="8" ht="150" customHeight="1">
      <x:c r="A8" s="36" t="str">
        <x:v>MIZU</x:v>
      </x:c>
      <x:c r="B8" s="31" t="str"/>
      <x:c r="C8" s="31" t="str">
        <x:v>mizu-CARD.png</x:v>
      </x:c>
      <x:c r="D8" s="38" t="str">
        <x:v>Wooden bo staff</x:v>
      </x:c>
      <x:c r="E8" s="31" t="str">
        <x:v>Both hands on the staff</x:v>
      </x:c>
      <x:c r="F8" s="31" t="str">
        <x:v>Bo staff only; no bladed weapon</x:v>
      </x:c>
      <x:c r="G8" s="31" t="str">
        <x:v>Staff braces into the high X</x:v>
      </x:c>
      <x:c r="H8" s="31" t="str">
        <x:v>PURE SIDE PROFILE — LEFT</x:v>
      </x:c>
      <x:c r="I8" s="31" t="str">
        <x:v>85–95% body height; steep ~45°; forward LEFT; fixed frames 1–8</x:v>
      </x:c>
      <x:c r="J8" s="31" t="str">
        <x:v>Soles-to-crown identical all 10; target within 1%</x:v>
      </x:c>
      <x:c r="K8" s="31" t="str">
        <x:v>Impact: weapons meet; weight arrives forward; arms braced; head up.</x:v>
      </x:c>
      <x:c r="L8" s="31" t="str">
        <x:v>Absorb catch; elbows compress; rear foot digs in; shoulders drop.</x:v>
      </x:c>
      <x:c r="M8" s="31" t="str">
        <x:v>Held push; lean in/up; bent elbows; fixed contact point.</x:v>
      </x:c>
      <x:c r="N8" s="31" t="str">
        <x:v>Same bind breathing; tiny body/weapon shift only.</x:v>
      </x:c>
      <x:c r="O8" s="31" t="str">
        <x:v>Same bind breathing; subtle weight shift only.</x:v>
      </x:c>
      <x:c r="P8" s="31" t="str">
        <x:v>Same bind breathing; subtle compression only.</x:v>
      </x:c>
      <x:c r="Q8" s="31" t="str">
        <x:v>Same bind breathing; tiny tremble/weight shift only.</x:v>
      </x:c>
      <x:c r="R8" s="31" t="str">
        <x:v>Same bind breathing; final loop variation; contact still fixed.</x:v>
      </x:c>
      <x:c r="S8" s="31" t="str">
        <x:v>Break bind open; front foot steps through; weapon drives forward/up.</x:v>
      </x:c>
      <x:c r="T8" s="31" t="str">
        <x:v>Thrown off; torso rocks back; weapon knocked wide; still on both feet.</x:v>
      </x:c>
      <x:c r="U8" s="31" t="n">
        <x:f>COUNTA(K8:T8)</x:f>
        <x:v>10</x:v>
      </x:c>
      <x:c r="V8" s="31" t="str">
        <x:f>IF(U8=10,"OK","CHECK")</x:f>
        <x:v>OK</x:v>
      </x:c>
    </x:row>
    <x:row r="9" ht="150" customHeight="1">
      <x:c r="A9" s="48" t="str">
        <x:v>SHIN</x:v>
      </x:c>
      <x:c r="B9" s="43" t="str"/>
      <x:c r="C9" s="43" t="str">
        <x:v>shin-CARD.png</x:v>
      </x:c>
      <x:c r="D9" s="50" t="str">
        <x:v>Kunai</x:v>
      </x:c>
      <x:c r="E9" s="43" t="str">
        <x:v>Kunai held in hand for the bind</x:v>
      </x:c>
      <x:c r="F9" s="43" t="str">
        <x:v>Do not replace with sword or other weapon</x:v>
      </x:c>
      <x:c r="G9" s="43" t="str">
        <x:v>Kunai meets the opponent at the high X</x:v>
      </x:c>
      <x:c r="H9" s="43" t="str">
        <x:v>PURE SIDE PROFILE — LEFT</x:v>
      </x:c>
      <x:c r="I9" s="43" t="str">
        <x:v>85–95% body height; steep ~45°; forward LEFT; fixed frames 1–8</x:v>
      </x:c>
      <x:c r="J9" s="43" t="str">
        <x:v>Soles-to-crown identical all 10; target within 1%</x:v>
      </x:c>
      <x:c r="K9" s="43" t="str">
        <x:v>Impact: weapons meet; weight arrives forward; arms braced; head up.</x:v>
      </x:c>
      <x:c r="L9" s="43" t="str">
        <x:v>Absorb catch; elbows compress; rear foot digs in; shoulders drop.</x:v>
      </x:c>
      <x:c r="M9" s="43" t="str">
        <x:v>Held push; lean in/up; bent elbows; fixed contact point.</x:v>
      </x:c>
      <x:c r="N9" s="43" t="str">
        <x:v>Same bind breathing; tiny body/weapon shift only.</x:v>
      </x:c>
      <x:c r="O9" s="43" t="str">
        <x:v>Same bind breathing; subtle weight shift only.</x:v>
      </x:c>
      <x:c r="P9" s="43" t="str">
        <x:v>Same bind breathing; subtle compression only.</x:v>
      </x:c>
      <x:c r="Q9" s="43" t="str">
        <x:v>Same bind breathing; tiny tremble/weight shift only.</x:v>
      </x:c>
      <x:c r="R9" s="43" t="str">
        <x:v>Same bind breathing; final loop variation; contact still fixed.</x:v>
      </x:c>
      <x:c r="S9" s="43" t="str">
        <x:v>Break bind open; front foot steps through; weapon drives forward/up.</x:v>
      </x:c>
      <x:c r="T9" s="43" t="str">
        <x:v>Thrown off; torso rocks back; weapon knocked wide; still on both feet.</x:v>
      </x:c>
      <x:c r="U9" s="43" t="n">
        <x:f>COUNTA(K9:T9)</x:f>
        <x:v>10</x:v>
      </x:c>
      <x:c r="V9" s="43" t="str">
        <x:f>IF(U9=10,"OK","CHECK")</x:f>
        <x:v>OK</x:v>
      </x:c>
    </x:row>
    <x:row r="10" ht="150" customHeight="1">
      <x:c r="A10" s="36" t="str">
        <x:v>EXILE</x:v>
      </x:c>
      <x:c r="B10" s="31" t="str"/>
      <x:c r="C10" s="31" t="str">
        <x:v>exile-CARD.png</x:v>
      </x:c>
      <x:c r="D10" s="38" t="str">
        <x:v>Sickle only</x:v>
      </x:c>
      <x:c r="E10" s="31" t="str">
        <x:v>One sickle is the bind weapon</x:v>
      </x:c>
      <x:c r="F10" s="31" t="str">
        <x:v>Never use the chain in blade-lock frames</x:v>
      </x:c>
      <x:c r="G10" s="31" t="str">
        <x:v>Sickle catches/braces at the high X</x:v>
      </x:c>
      <x:c r="H10" s="31" t="str">
        <x:v>PURE SIDE PROFILE — LEFT</x:v>
      </x:c>
      <x:c r="I10" s="31" t="str">
        <x:v>85–95% body height; steep ~45°; forward LEFT; fixed frames 1–8</x:v>
      </x:c>
      <x:c r="J10" s="31" t="str">
        <x:v>Soles-to-crown identical all 10; target within 1%</x:v>
      </x:c>
      <x:c r="K10" s="31" t="str">
        <x:v>Impact: weapons meet; weight arrives forward; arms braced; head up.</x:v>
      </x:c>
      <x:c r="L10" s="31" t="str">
        <x:v>Absorb catch; elbows compress; rear foot digs in; shoulders drop.</x:v>
      </x:c>
      <x:c r="M10" s="31" t="str">
        <x:v>Held push; lean in/up; bent elbows; fixed contact point.</x:v>
      </x:c>
      <x:c r="N10" s="31" t="str">
        <x:v>Same bind breathing; tiny body/weapon shift only.</x:v>
      </x:c>
      <x:c r="O10" s="31" t="str">
        <x:v>Same bind breathing; subtle weight shift only.</x:v>
      </x:c>
      <x:c r="P10" s="31" t="str">
        <x:v>Same bind breathing; subtle compression only.</x:v>
      </x:c>
      <x:c r="Q10" s="31" t="str">
        <x:v>Same bind breathing; tiny tremble/weight shift only.</x:v>
      </x:c>
      <x:c r="R10" s="31" t="str">
        <x:v>Same bind breathing; final loop variation; contact still fixed.</x:v>
      </x:c>
      <x:c r="S10" s="31" t="str">
        <x:v>Break bind open; front foot steps through; weapon drives forward/up.</x:v>
      </x:c>
      <x:c r="T10" s="31" t="str">
        <x:v>Thrown off; torso rocks back; weapon knocked wide; still on both feet.</x:v>
      </x:c>
      <x:c r="U10" s="31" t="n">
        <x:f>COUNTA(K10:T10)</x:f>
        <x:v>10</x:v>
      </x:c>
      <x:c r="V10" s="31" t="str">
        <x:f>IF(U10=10,"OK","CHECK")</x:f>
        <x:v>OK</x:v>
      </x:c>
    </x:row>
    <x:row r="11" ht="150" customHeight="1">
      <x:c r="A11" s="48" t="str">
        <x:v>ONI</x:v>
      </x:c>
      <x:c r="B11" s="43" t="str"/>
      <x:c r="C11" s="43" t="str">
        <x:v>oni-CARD.png</x:v>
      </x:c>
      <x:c r="D11" s="50" t="str">
        <x:v>Right-hand iron claw only</x:v>
      </x:c>
      <x:c r="E11" s="43" t="str">
        <x:v>Right claw traps the opponent's edge; left hand stays wrapped and clawless</x:v>
      </x:c>
      <x:c r="F11" s="43" t="str">
        <x:v>Both swords remain on his back; no kanabo; no second claw</x:v>
      </x:c>
      <x:c r="G11" s="43" t="str">
        <x:v>Claw trap at the same high contact point</x:v>
      </x:c>
      <x:c r="H11" s="43" t="str">
        <x:v>PURE SIDE PROFILE — LEFT</x:v>
      </x:c>
      <x:c r="I11" s="43" t="str">
        <x:v>85–95% body height; steep ~45°; forward LEFT; fixed frames 1–8</x:v>
      </x:c>
      <x:c r="J11" s="43" t="str">
        <x:v>Soles-to-crown identical all 10; target within 1%</x:v>
      </x:c>
      <x:c r="K11" s="43" t="str">
        <x:v>Impact: weapons meet; weight arrives forward; arms braced; head up.</x:v>
      </x:c>
      <x:c r="L11" s="43" t="str">
        <x:v>Absorb catch; elbows compress; rear foot digs in; shoulders drop.</x:v>
      </x:c>
      <x:c r="M11" s="43" t="str">
        <x:v>Held push; lean in/up; bent elbows; fixed contact point.</x:v>
      </x:c>
      <x:c r="N11" s="43" t="str">
        <x:v>Same bind breathing; tiny body/weapon shift only.</x:v>
      </x:c>
      <x:c r="O11" s="43" t="str">
        <x:v>Same bind breathing; subtle weight shift only.</x:v>
      </x:c>
      <x:c r="P11" s="43" t="str">
        <x:v>Same bind breathing; subtle compression only.</x:v>
      </x:c>
      <x:c r="Q11" s="43" t="str">
        <x:v>Same bind breathing; tiny tremble/weight shift only.</x:v>
      </x:c>
      <x:c r="R11" s="43" t="str">
        <x:v>Same bind breathing; final loop variation; contact still fixed.</x:v>
      </x:c>
      <x:c r="S11" s="43" t="str">
        <x:v>Break bind open; front foot steps through; weapon drives forward/up.</x:v>
      </x:c>
      <x:c r="T11" s="43" t="str">
        <x:v>Thrown off; torso rocks back; weapon knocked wide; still on both feet.</x:v>
      </x:c>
      <x:c r="U11" s="43" t="n">
        <x:f>COUNTA(K11:T11)</x:f>
        <x:v>10</x:v>
      </x:c>
      <x:c r="V11" s="43" t="str">
        <x:f>IF(U11=10,"OK","CHECK")</x:f>
        <x:v>OK</x:v>
      </x:c>
    </x:row>
    <x:row r="13" ht="30" customHeight="1">
      <x:c r="A13" s="55" t="str">
        <x:v>HARD LOCKS — no redesign • no pixel art • no sparks/glow/speed lines/debris • strain is a compressed bind, not a thrust • cells 9–10 are the only arm-extension frames • Mokurai never binds</x:v>
      </x:c>
      <x:c r="B13" s="55"/>
      <x:c r="C13" s="55"/>
      <x:c r="D13" s="55"/>
      <x:c r="E13" s="55"/>
      <x:c r="F13" s="55"/>
      <x:c r="G13" s="55"/>
      <x:c r="H13" s="55"/>
      <x:c r="I13" s="55"/>
      <x:c r="J13" s="55"/>
      <x:c r="K13" s="55"/>
      <x:c r="L13" s="55"/>
      <x:c r="M13" s="55"/>
      <x:c r="N13" s="55"/>
      <x:c r="O13" s="55"/>
      <x:c r="P13" s="55"/>
      <x:c r="Q13" s="55"/>
      <x:c r="R13" s="55"/>
      <x:c r="S13" s="55"/>
      <x:c r="T13" s="55"/>
      <x:c r="U13" s="55"/>
      <x:c r="V13" s="55"/>
    </x:row>
  </x:sheetData>
  <x:mergeCells>
    <x:mergeCell ref="A1:V1"/>
    <x:mergeCell ref="A2:V2"/>
    <x:mergeCell ref="A13:V13"/>
  </x:mergeCells>
  <x:conditionalFormatting sqref="V4:V4">
    <x:cfRule type="expression" dxfId="0" priority="1">
      <x:formula>V4="CHECK"</x:formula>
    </x:cfRule>
    <x:cfRule type="expression" dxfId="1" priority="2">
      <x:formula>V4="OK"</x:formula>
    </x:cfRule>
  </x:conditionalFormatting>
  <x:conditionalFormatting sqref="V5:V5">
    <x:cfRule type="expression" dxfId="2" priority="3">
      <x:formula>V5="CHECK"</x:formula>
    </x:cfRule>
    <x:cfRule type="expression" dxfId="3" priority="4">
      <x:formula>V5="OK"</x:formula>
    </x:cfRule>
  </x:conditionalFormatting>
  <x:conditionalFormatting sqref="V6:V6">
    <x:cfRule type="expression" dxfId="4" priority="5">
      <x:formula>V6="CHECK"</x:formula>
    </x:cfRule>
    <x:cfRule type="expression" dxfId="5" priority="6">
      <x:formula>V6="OK"</x:formula>
    </x:cfRule>
  </x:conditionalFormatting>
  <x:conditionalFormatting sqref="V7:V7">
    <x:cfRule type="expression" dxfId="6" priority="7">
      <x:formula>V7="CHECK"</x:formula>
    </x:cfRule>
    <x:cfRule type="expression" dxfId="7" priority="8">
      <x:formula>V7="OK"</x:formula>
    </x:cfRule>
  </x:conditionalFormatting>
  <x:conditionalFormatting sqref="V8:V8">
    <x:cfRule type="expression" dxfId="8" priority="9">
      <x:formula>V8="CHECK"</x:formula>
    </x:cfRule>
    <x:cfRule type="expression" dxfId="9" priority="10">
      <x:formula>V8="OK"</x:formula>
    </x:cfRule>
  </x:conditionalFormatting>
  <x:conditionalFormatting sqref="V9:V9">
    <x:cfRule type="expression" dxfId="10" priority="11">
      <x:formula>V9="CHECK"</x:formula>
    </x:cfRule>
    <x:cfRule type="expression" dxfId="11" priority="12">
      <x:formula>V9="OK"</x:formula>
    </x:cfRule>
  </x:conditionalFormatting>
  <x:conditionalFormatting sqref="V10:V10">
    <x:cfRule type="expression" dxfId="12" priority="13">
      <x:formula>V10="CHECK"</x:formula>
    </x:cfRule>
    <x:cfRule type="expression" dxfId="13" priority="14">
      <x:formula>V10="OK"</x:formula>
    </x:cfRule>
  </x:conditionalFormatting>
  <x:conditionalFormatting sqref="V11:V11">
    <x:cfRule type="expression" dxfId="14" priority="15">
      <x:formula>V11="CHECK"</x:formula>
    </x:cfRule>
    <x:cfRule type="expression" dxfId="15" priority="16">
      <x:formula>V11="OK"</x:formula>
    </x:cfRule>
  </x:conditionalFormatting>
  <x:pageMargins left="0.7" right="0.7" top="0.75" bottom="0.75" header="0.3" footer="0.3"/>
  <x:drawing xmlns:r="http://schemas.openxmlformats.org/officeDocument/2006/relationships" r:id="Rbcaeb95faef24f7e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5" t="str">
        <x:v>CANON VISUAL LOCKS — DO NOT REDESIGN</x:v>
      </x:c>
      <x:c r="B1" s="5"/>
      <x:c r="C1" s="5"/>
      <x:c r="D1" s="5"/>
      <x:c r="E1" s="5"/>
      <x:c r="F1" s="5"/>
      <x:c r="G1" s="5"/>
      <x:c r="H1" s="5"/>
    </x:row>
    <x:row r="2" ht="28" customHeight="1">
      <x:c r="A2" s="62" t="str">
        <x:v>The seven card previews come from the user's supplied card gallery; Oni uses the approved Founder reference. Names and bind weapons are from the uploaded Aug. 12 MD.</x:v>
      </x:c>
      <x:c r="B2" s="62"/>
      <x:c r="C2" s="62"/>
      <x:c r="D2" s="62"/>
      <x:c r="E2" s="62"/>
      <x:c r="F2" s="62"/>
      <x:c r="G2" s="62"/>
      <x:c r="H2" s="62"/>
    </x:row>
    <x:row r="4" ht="24" customHeight="1">
      <x:c r="A4" s="68" t="str">
        <x:v>KAEL  —  Long katana</x:v>
      </x:c>
      <x:c r="B4" s="68"/>
      <x:c r="C4" s="68"/>
      <x:c r="D4" s="68"/>
      <x:c r="E4" s="68" t="str">
        <x:v>EXECUTIONER  —  Nodachi</x:v>
      </x:c>
      <x:c r="F4" s="68"/>
      <x:c r="G4" s="68"/>
      <x:c r="H4" s="68"/>
    </x:row>
    <x:row r="10">
      <x:c r="A10" s="75" t="str">
        <x:v>Card: kael-CARD.png</x:v>
      </x:c>
      <x:c r="B10" s="75"/>
      <x:c r="C10" s="75"/>
      <x:c r="D10" s="75"/>
      <x:c r="E10" s="75" t="str">
        <x:v>Card: executioner-CARD.png</x:v>
      </x:c>
      <x:c r="F10" s="75"/>
      <x:c r="G10" s="75"/>
      <x:c r="H10" s="75"/>
    </x:row>
    <x:row r="11" ht="44" customHeight="1">
      <x:c r="A11" s="81" t="str">
        <x:v>Black hood/armor with gold-yellow trim and scarf; glowing yellow eyes; dual swords | Katana is the bind weapon; short blade remains visible in frame | Short blade stays in frame; do not drop it</x:v>
      </x:c>
      <x:c r="B11" s="81"/>
      <x:c r="C11" s="81"/>
      <x:c r="D11" s="81"/>
      <x:c r="E11" s="81" t="str">
        <x:v>Purple/black hooded fighter with horned silhouette and orange scarf accents; long nodachi | Two hands for blade-lock bind | Idle may be one-handed; bind is explicitly two-handed</x:v>
      </x:c>
      <x:c r="F11" s="81"/>
      <x:c r="G11" s="81"/>
      <x:c r="H11" s="81"/>
    </x:row>
    <x:row r="12" ht="24" customHeight="1">
      <x:c r="A12" s="68" t="str">
        <x:v>TSUBASA  —  Two tanto</x:v>
      </x:c>
      <x:c r="B12" s="68"/>
      <x:c r="C12" s="68"/>
      <x:c r="D12" s="68"/>
      <x:c r="E12" s="68" t="str">
        <x:v>EMBER  —  Iron claws</x:v>
      </x:c>
      <x:c r="F12" s="68"/>
      <x:c r="G12" s="68"/>
      <x:c r="H12" s="68"/>
    </x:row>
    <x:row r="18">
      <x:c r="A18" s="75" t="str">
        <x:v>Card: tsubasa-CARD.png</x:v>
      </x:c>
      <x:c r="B18" s="75"/>
      <x:c r="C18" s="75"/>
      <x:c r="D18" s="75"/>
      <x:c r="E18" s="75" t="str">
        <x:v>Card: ember-CARD.png</x:v>
      </x:c>
      <x:c r="F18" s="75"/>
      <x:c r="G18" s="75"/>
      <x:c r="H18" s="75"/>
    </x:row>
    <x:row r="19" ht="44" customHeight="1">
      <x:c r="A19" s="81" t="str">
        <x:v>Black outfit, spiky black hair with red streaks, red scarf/wraps; two small silver tanto | Both tanto in reverse grip | Both tanto remain in use; no substitute sword</x:v>
      </x:c>
      <x:c r="B19" s="81"/>
      <x:c r="C19" s="81"/>
      <x:c r="D19" s="81"/>
      <x:c r="E19" s="81" t="str">
        <x:v>Green hood/scarf, dark-green wraps, pale glowing eyes; iron hand claws | Claws trap the opponent's edge | No added sword or blade</x:v>
      </x:c>
      <x:c r="F19" s="81"/>
      <x:c r="G19" s="81"/>
      <x:c r="H19" s="81"/>
    </x:row>
    <x:row r="20" ht="24" customHeight="1">
      <x:c r="A20" s="68" t="str">
        <x:v>MIZU  —  Wooden bo staff</x:v>
      </x:c>
      <x:c r="B20" s="68"/>
      <x:c r="C20" s="68"/>
      <x:c r="D20" s="68"/>
      <x:c r="E20" s="68" t="str">
        <x:v>SHIN  —  Kunai</x:v>
      </x:c>
      <x:c r="F20" s="68"/>
      <x:c r="G20" s="68"/>
      <x:c r="H20" s="68"/>
    </x:row>
    <x:row r="26">
      <x:c r="A26" s="75" t="str">
        <x:v>Card: mizu-CARD.png</x:v>
      </x:c>
      <x:c r="B26" s="75"/>
      <x:c r="C26" s="75"/>
      <x:c r="D26" s="75"/>
      <x:c r="E26" s="75" t="str">
        <x:v>Card: shin-CARD.png</x:v>
      </x:c>
      <x:c r="F26" s="75"/>
      <x:c r="G26" s="75"/>
      <x:c r="H26" s="75"/>
    </x:row>
    <x:row r="27" ht="44" customHeight="1">
      <x:c r="A27" s="81" t="str">
        <x:v>Purple hood and layered violet robe/scarf; pale eyes; one long tan wooden bo | Both hands on the staff | Bo staff only; no bladed weapon</x:v>
      </x:c>
      <x:c r="B27" s="81"/>
      <x:c r="C27" s="81"/>
      <x:c r="D27" s="81"/>
      <x:c r="E27" s="81" t="str">
        <x:v>Deep forest-green hood/garb, teal-blue scarf, pale glowing eyes; short kunai | Kunai held in hand for the bind | Do not replace with sword or other weapon</x:v>
      </x:c>
      <x:c r="F27" s="81"/>
      <x:c r="G27" s="81"/>
      <x:c r="H27" s="81"/>
    </x:row>
    <x:row r="28" ht="24" customHeight="1">
      <x:c r="A28" s="68" t="str">
        <x:v>EXILE  —  Sickle only</x:v>
      </x:c>
      <x:c r="B28" s="68"/>
      <x:c r="C28" s="68"/>
      <x:c r="D28" s="68"/>
      <x:c r="E28" s="68" t="str">
        <x:v>ONI  —  Right-hand iron claw only</x:v>
      </x:c>
      <x:c r="F28" s="68"/>
      <x:c r="G28" s="68"/>
      <x:c r="H28" s="68"/>
    </x:row>
    <x:row r="34">
      <x:c r="A34" s="75" t="str">
        <x:v>Card: exile-CARD.png</x:v>
      </x:c>
      <x:c r="B34" s="75"/>
      <x:c r="C34" s="75"/>
      <x:c r="D34" s="75"/>
      <x:c r="E34" s="75" t="str">
        <x:v>Card: oni-CARD.png</x:v>
      </x:c>
      <x:c r="F34" s="75"/>
      <x:c r="G34" s="75"/>
      <x:c r="H34" s="75"/>
    </x:row>
    <x:row r="35" ht="44" customHeight="1">
      <x:c r="A35" s="81" t="str">
        <x:v>Implemented Exile look: black hair with white streaks, black face covering, purple trailing cloth; kama/sickle | One sickle is the bind weapon | Never use the chain in blade-lock frames</x:v>
      </x:c>
      <x:c r="B35" s="81"/>
      <x:c r="C35" s="81"/>
      <x:c r="D35" s="81"/>
      <x:c r="E35" s="81" t="str">
        <x:v>Black/ash armor and hood, cracked white horned mask, red eyes; right metal claw; two swords on back | Right claw traps the opponent's edge; left hand stays wrapped and clawless | Both swords remain on his back; no kanabo; no second claw</x:v>
      </x:c>
      <x:c r="F35" s="81"/>
      <x:c r="G35" s="81"/>
      <x:c r="H35" s="81"/>
    </x:row>
  </x:sheetData>
  <x:mergeCells>
    <x:mergeCell ref="A1:H1"/>
    <x:mergeCell ref="A2:H2"/>
    <x:mergeCell ref="A4:D4"/>
    <x:mergeCell ref="A10:D10"/>
    <x:mergeCell ref="A11:D11"/>
    <x:mergeCell ref="E4:H4"/>
    <x:mergeCell ref="E10:H10"/>
    <x:mergeCell ref="E11:H11"/>
    <x:mergeCell ref="A12:D12"/>
    <x:mergeCell ref="A18:D18"/>
    <x:mergeCell ref="A19:D19"/>
    <x:mergeCell ref="E12:H12"/>
    <x:mergeCell ref="E18:H18"/>
    <x:mergeCell ref="E19:H19"/>
    <x:mergeCell ref="A20:D20"/>
    <x:mergeCell ref="A26:D26"/>
    <x:mergeCell ref="A27:D27"/>
    <x:mergeCell ref="E20:H20"/>
    <x:mergeCell ref="E26:H26"/>
    <x:mergeCell ref="E27:H27"/>
    <x:mergeCell ref="A28:D28"/>
    <x:mergeCell ref="A34:D34"/>
    <x:mergeCell ref="A35:D35"/>
    <x:mergeCell ref="E28:H28"/>
    <x:mergeCell ref="E34:H34"/>
    <x:mergeCell ref="E35:H35"/>
  </x:mergeCells>
  <x:pageMargins left="0.7" right="0.7" top="0.75" bottom="0.75" header="0.3" footer="0.3"/>
  <x:drawing xmlns:r="http://schemas.openxmlformats.org/officeDocument/2006/relationships" r:id="Rb04ed7d984e04ec5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72" hidden="0" customWidth="1"/>
    <x:col min="4" max="4" width="62" hidden="0" customWidth="1"/>
  </x:cols>
  <x:sheetData>
    <x:row r="1" ht="30" customHeight="1">
      <x:c r="A1" s="5" t="str">
        <x:v>SOURCE-LOCKED BLADE-LOCK RULES</x:v>
      </x:c>
      <x:c r="B1" s="5"/>
      <x:c r="C1" s="5"/>
      <x:c r="D1" s="5"/>
    </x:row>
    <x:row r="3">
      <x:c r="A3" s="87" t="str">
        <x:v>TOPIC</x:v>
      </x:c>
      <x:c r="B3" s="87" t="str">
        <x:v>SOURCE LINES</x:v>
      </x:c>
      <x:c r="C3" s="87" t="str">
        <x:v>CANON RULE</x:v>
      </x:c>
      <x:c r="D3" s="87" t="str">
        <x:v>PRODUCTION CONSEQUENCE</x:v>
      </x:c>
    </x:row>
    <x:row r="4" ht="48" customHeight="1">
      <x:c r="A4" s="98" t="str">
        <x:v>Identity lock</x:v>
      </x:c>
      <x:c r="B4" s="94" t="str">
        <x:v>3–14</x:v>
      </x:c>
      <x:c r="C4" s="94" t="str">
        <x:v>Use each &lt;name&gt;-CARD.png; do not redesign; sword-clash photos govern geometry.</x:v>
      </x:c>
      <x:c r="D4" s="94" t="str">
        <x:v>Visual reference outranks prose whenever there is a conflict.</x:v>
      </x:c>
    </x:row>
    <x:row r="5" ht="48" customHeight="1">
      <x:c r="A5" s="98" t="str">
        <x:v>Facing</x:v>
      </x:c>
      <x:c r="B5" s="94" t="str">
        <x:v>29–36</x:v>
      </x:c>
      <x:c r="C5" s="94" t="str">
        <x:v>Every cell is pure side profile facing LEFT. Oni's claw must remain on his RIGHT hand.</x:v>
      </x:c>
      <x:c r="D5" s="94" t="str">
        <x:v>Never horizontal-flip Oni into a left-claw error.</x:v>
      </x:c>
    </x:row>
    <x:row r="6" ht="48" customHeight="1">
      <x:c r="A6" s="98" t="str">
        <x:v>Frame sequence</x:v>
      </x:c>
      <x:c r="B6" s="94" t="str">
        <x:v>40–50</x:v>
      </x:c>
      <x:c r="C6" s="94" t="str">
        <x:v>1 Catch, 2 Settle, 3–8 Strain ×6, 9 Win, 10 Lose.</x:v>
      </x:c>
      <x:c r="D6" s="94" t="str">
        <x:v>Strain frames are one held pose breathing, not six unrelated poses.</x:v>
      </x:c>
    </x:row>
    <x:row r="7" ht="48" customHeight="1">
      <x:c r="A7" s="98" t="str">
        <x:v>High contact</x:v>
      </x:c>
      <x:c r="B7" s="94" t="str">
        <x:v>54–78</x:v>
      </x:c>
      <x:c r="C7" s="94" t="str">
        <x:v>Contact is above the crown, 85–95% body height, steep ~45°, forward LEFT; fixed in cells 1–8.</x:v>
      </x:c>
      <x:c r="D7" s="94" t="str">
        <x:v>Body moves around the contact; the contact itself does not drift.</x:v>
      </x:c>
    </x:row>
    <x:row r="8" ht="48" customHeight="1">
      <x:c r="A8" s="98" t="str">
        <x:v>Bind mechanics</x:v>
      </x:c>
      <x:c r="B8" s="94" t="str">
        <x:v>80–91</x:v>
      </x:c>
      <x:c r="C8" s="94" t="str">
        <x:v>Straining bind, not a thrust: weight forward, bent/compressed elbows, rear leg braced.</x:v>
      </x:c>
      <x:c r="D8" s="94" t="str">
        <x:v>Only Win/Lose may extend the arms.</x:v>
      </x:c>
    </x:row>
    <x:row r="9" ht="48" customHeight="1">
      <x:c r="A9" s="98" t="str">
        <x:v>Internal size</x:v>
      </x:c>
      <x:c r="B9" s="94" t="str">
        <x:v>93–104</x:v>
      </x:c>
      <x:c r="C9" s="94" t="str">
        <x:v>Body height must remain identical through all ten cells; target within 1%.</x:v>
      </x:c>
      <x:c r="D9" s="94" t="str">
        <x:v>Make canvas larger instead of scaling a pose to fit.</x:v>
      </x:c>
    </x:row>
    <x:row r="10" ht="48" customHeight="1">
      <x:c r="A10" s="98" t="str">
        <x:v>Effects</x:v>
      </x:c>
      <x:c r="B10" s="94" t="str">
        <x:v>106–115</x:v>
      </x:c>
      <x:c r="C10" s="94" t="str">
        <x:v>No speed lines, flashes, glow, sparks, debris, strain ticks, dust, or sweat.</x:v>
      </x:c>
      <x:c r="D10" s="94" t="str">
        <x:v>Deliver clean character cells only.</x:v>
      </x:c>
    </x:row>
    <x:row r="11" ht="48" customHeight="1">
      <x:c r="A11" s="98" t="str">
        <x:v>Generation method</x:v>
      </x:c>
      <x:c r="B11" s="94" t="str">
        <x:v>117–136</x:v>
      </x:c>
      <x:c r="C11" s="94" t="str">
        <x:v>Chain edits card→1→2→3→4→5→6→7→8; 3→9 and 3→10.</x:v>
      </x:c>
      <x:c r="D11" s="94" t="str">
        <x:v>Redo a bad child from its parent instead of regenerating the whole set.</x:v>
      </x:c>
    </x:row>
    <x:row r="12" ht="48" customHeight="1">
      <x:c r="A12" s="98" t="str">
        <x:v>Batch roster</x:v>
      </x:c>
      <x:c r="B12" s="94" t="str">
        <x:v>143–158</x:v>
      </x:c>
      <x:c r="C12" s="94" t="str">
        <x:v>Kael, Executioner, Tsubasa, Ember, Mizu, Shin, Exile, Oni. Mokurai never binds.</x:v>
      </x:c>
      <x:c r="D12" s="94" t="str">
        <x:v>Use only the eight fighters listed in this workbook.</x:v>
      </x:c>
    </x:row>
  </x:sheetData>
  <x:mergeCells>
    <x:mergeCell ref="A1:D1"/>
  </x:mergeCells>
  <x:pageMargins left="0.7" right="0.7" top="0.75" bottom="0.75" header="0.3" footer="0.3"/>
</x:worksheet>
</file>